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估值模型" sheetId="1" state="visible" r:id="rId1"/>
    <sheet xmlns:r="http://schemas.openxmlformats.org/officeDocument/2006/relationships" name="财务比率" sheetId="2" state="visible" r:id="rId2"/>
    <sheet xmlns:r="http://schemas.openxmlformats.org/officeDocument/2006/relationships" name="利润质量检查" sheetId="3" state="visible" r:id="rId3"/>
    <sheet xmlns:r="http://schemas.openxmlformats.org/officeDocument/2006/relationships" name="投资决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自由现金流折现（DCF）估值模型</t>
        </is>
      </c>
    </row>
    <row r="3">
      <c r="A3" s="2" t="inlineStr">
        <is>
          <t>基本信息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说明</t>
        </is>
      </c>
    </row>
    <row r="5">
      <c r="A5" s="4" t="inlineStr">
        <is>
          <t>公司名称</t>
        </is>
      </c>
      <c r="B5" s="5" t="inlineStr"/>
      <c r="C5" s="4" t="inlineStr">
        <is>
          <t>请输入公司名称</t>
        </is>
      </c>
    </row>
    <row r="6">
      <c r="A6" s="4" t="inlineStr">
        <is>
          <t>股票代码</t>
        </is>
      </c>
      <c r="B6" s="5" t="inlineStr"/>
      <c r="C6" s="4" t="inlineStr">
        <is>
          <t>如：600519</t>
        </is>
      </c>
    </row>
    <row r="7">
      <c r="A7" s="4" t="inlineStr">
        <is>
          <t>分析日期</t>
        </is>
      </c>
      <c r="B7" s="5" t="inlineStr"/>
      <c r="C7" s="4" t="inlineStr">
        <is>
          <t>2026-02-25</t>
        </is>
      </c>
    </row>
    <row r="8">
      <c r="A8" s="4" t="inlineStr">
        <is>
          <t>当前股价</t>
        </is>
      </c>
      <c r="B8" s="5" t="inlineStr"/>
      <c r="C8" s="4" t="inlineStr">
        <is>
          <t>元</t>
        </is>
      </c>
    </row>
    <row r="9">
      <c r="A9" s="4" t="inlineStr">
        <is>
          <t>总股本</t>
        </is>
      </c>
      <c r="B9" s="5" t="inlineStr"/>
      <c r="C9" s="4" t="inlineStr">
        <is>
          <t>亿股</t>
        </is>
      </c>
    </row>
    <row r="10">
      <c r="A10" s="4" t="inlineStr">
        <is>
          <t>当前市值</t>
        </is>
      </c>
      <c r="B10" s="6">
        <f>B6*B7</f>
        <v/>
      </c>
      <c r="C10" s="4" t="inlineStr">
        <is>
          <t>亿元（自动计算）</t>
        </is>
      </c>
    </row>
    <row r="13">
      <c r="A13" s="2" t="inlineStr">
        <is>
          <t>核心假设（请填写黄色区域）</t>
        </is>
      </c>
    </row>
    <row r="14">
      <c r="A14" s="3" t="inlineStr">
        <is>
          <t>项目</t>
        </is>
      </c>
      <c r="B14" s="3" t="inlineStr">
        <is>
          <t>数值</t>
        </is>
      </c>
      <c r="C14" s="3" t="inlineStr">
        <is>
          <t>单位</t>
        </is>
      </c>
      <c r="D14" s="3" t="inlineStr">
        <is>
          <t>说明</t>
        </is>
      </c>
    </row>
    <row r="15">
      <c r="A15" s="4" t="inlineStr">
        <is>
          <t>当年净利润</t>
        </is>
      </c>
      <c r="B15" s="5" t="inlineStr"/>
      <c r="C15" s="4" t="inlineStr">
        <is>
          <t>亿元</t>
        </is>
      </c>
      <c r="D15" s="4" t="inlineStr">
        <is>
          <t>最近年报净利润</t>
        </is>
      </c>
    </row>
    <row r="16">
      <c r="A16" s="4" t="inlineStr">
        <is>
          <t>分红率</t>
        </is>
      </c>
      <c r="B16" s="5" t="n">
        <v>0.5</v>
      </c>
      <c r="C16" s="4" t="inlineStr"/>
      <c r="D16" s="4" t="inlineStr">
        <is>
          <t>历史分红率，如50%填0.5</t>
        </is>
      </c>
    </row>
    <row r="17">
      <c r="A17" s="4" t="inlineStr">
        <is>
          <t>前5年增长率</t>
        </is>
      </c>
      <c r="B17" s="5" t="n">
        <v>0.15</v>
      </c>
      <c r="C17" s="4" t="inlineStr"/>
      <c r="D17" s="4" t="inlineStr">
        <is>
          <t>预计增长率，如15%填0.15</t>
        </is>
      </c>
    </row>
    <row r="18">
      <c r="A18" s="4" t="inlineStr">
        <is>
          <t>后5年增长率</t>
        </is>
      </c>
      <c r="B18" s="5" t="n">
        <v>0.1</v>
      </c>
      <c r="C18" s="4" t="inlineStr"/>
      <c r="D18" s="4" t="inlineStr">
        <is>
          <t>预计增长率放缓</t>
        </is>
      </c>
    </row>
    <row r="19">
      <c r="A19" s="4" t="inlineStr">
        <is>
          <t>永续增长率</t>
        </is>
      </c>
      <c r="B19" s="5" t="n">
        <v>0.04</v>
      </c>
      <c r="C19" s="4" t="inlineStr"/>
      <c r="D19" s="4" t="inlineStr">
        <is>
          <t>通常3%-5%</t>
        </is>
      </c>
    </row>
    <row r="20">
      <c r="A20" s="4" t="inlineStr">
        <is>
          <t>折现率</t>
        </is>
      </c>
      <c r="B20" s="5" t="n">
        <v>0.1</v>
      </c>
      <c r="C20" s="4" t="inlineStr"/>
      <c r="D20" s="4" t="inlineStr">
        <is>
          <t>无风险利率+风险溢价，如10%</t>
        </is>
      </c>
    </row>
    <row r="22">
      <c r="A22" s="2" t="inlineStr">
        <is>
          <t>自由现金流预测</t>
        </is>
      </c>
    </row>
    <row r="23">
      <c r="A23" s="3" t="inlineStr">
        <is>
          <t>年份</t>
        </is>
      </c>
      <c r="B23" s="3" t="inlineStr">
        <is>
          <t>净利润(亿元)</t>
        </is>
      </c>
      <c r="C23" s="3" t="inlineStr">
        <is>
          <t>自由现金流(亿元)</t>
        </is>
      </c>
      <c r="D23" s="3" t="inlineStr">
        <is>
          <t>折现因子</t>
        </is>
      </c>
      <c r="E23" s="3" t="inlineStr">
        <is>
          <t>现值(亿元)</t>
        </is>
      </c>
    </row>
    <row r="24">
      <c r="A24" s="4" t="inlineStr">
        <is>
          <t>第1年</t>
        </is>
      </c>
      <c r="B24" s="6">
        <f>B15*(1-B16)*POWER(1+IF(1&lt;=5,$B$18,$B$19),1)</f>
        <v/>
      </c>
      <c r="C24" s="6">
        <f>B24</f>
        <v/>
      </c>
      <c r="D24" s="6">
        <f>1/POWER(1+$B$20,1)</f>
        <v/>
      </c>
      <c r="E24" s="6">
        <f>C24*D24</f>
        <v/>
      </c>
    </row>
    <row r="25">
      <c r="A25" s="4" t="inlineStr">
        <is>
          <t>第2年</t>
        </is>
      </c>
      <c r="B25" s="6">
        <f>B15*(1-B16)*POWER(1+IF(2&lt;=5,$B$18,$B$19),2)</f>
        <v/>
      </c>
      <c r="C25" s="6">
        <f>B25</f>
        <v/>
      </c>
      <c r="D25" s="6">
        <f>1/POWER(1+$B$20,2)</f>
        <v/>
      </c>
      <c r="E25" s="6">
        <f>C25*D25</f>
        <v/>
      </c>
    </row>
    <row r="26">
      <c r="A26" s="4" t="inlineStr">
        <is>
          <t>第3年</t>
        </is>
      </c>
      <c r="B26" s="6">
        <f>B15*(1-B16)*POWER(1+IF(3&lt;=5,$B$18,$B$19),3)</f>
        <v/>
      </c>
      <c r="C26" s="6">
        <f>B26</f>
        <v/>
      </c>
      <c r="D26" s="6">
        <f>1/POWER(1+$B$20,3)</f>
        <v/>
      </c>
      <c r="E26" s="6">
        <f>C26*D26</f>
        <v/>
      </c>
    </row>
    <row r="27">
      <c r="A27" s="4" t="inlineStr">
        <is>
          <t>第4年</t>
        </is>
      </c>
      <c r="B27" s="6">
        <f>B15*(1-B16)*POWER(1+IF(4&lt;=5,$B$18,$B$19),4)</f>
        <v/>
      </c>
      <c r="C27" s="6">
        <f>B27</f>
        <v/>
      </c>
      <c r="D27" s="6">
        <f>1/POWER(1+$B$20,4)</f>
        <v/>
      </c>
      <c r="E27" s="6">
        <f>C27*D27</f>
        <v/>
      </c>
    </row>
    <row r="28">
      <c r="A28" s="4" t="inlineStr">
        <is>
          <t>第5年</t>
        </is>
      </c>
      <c r="B28" s="6">
        <f>B15*(1-B16)*POWER(1+IF(5&lt;=5,$B$18,$B$19),5)</f>
        <v/>
      </c>
      <c r="C28" s="6">
        <f>B28</f>
        <v/>
      </c>
      <c r="D28" s="6">
        <f>1/POWER(1+$B$20,5)</f>
        <v/>
      </c>
      <c r="E28" s="6">
        <f>C28*D28</f>
        <v/>
      </c>
    </row>
    <row r="29">
      <c r="A29" s="4" t="inlineStr">
        <is>
          <t>第6年</t>
        </is>
      </c>
      <c r="B29" s="6">
        <f>B15*(1-B16)*POWER(1+IF(6&lt;=5,$B$18,$B$19),6)</f>
        <v/>
      </c>
      <c r="C29" s="6">
        <f>B29</f>
        <v/>
      </c>
      <c r="D29" s="6">
        <f>1/POWER(1+$B$20,6)</f>
        <v/>
      </c>
      <c r="E29" s="6">
        <f>C29*D29</f>
        <v/>
      </c>
    </row>
    <row r="30">
      <c r="A30" s="4" t="inlineStr">
        <is>
          <t>第7年</t>
        </is>
      </c>
      <c r="B30" s="6">
        <f>B15*(1-B16)*POWER(1+IF(7&lt;=5,$B$18,$B$19),7)</f>
        <v/>
      </c>
      <c r="C30" s="6">
        <f>B30</f>
        <v/>
      </c>
      <c r="D30" s="6">
        <f>1/POWER(1+$B$20,7)</f>
        <v/>
      </c>
      <c r="E30" s="6">
        <f>C30*D30</f>
        <v/>
      </c>
    </row>
    <row r="31">
      <c r="A31" s="4" t="inlineStr">
        <is>
          <t>第8年</t>
        </is>
      </c>
      <c r="B31" s="6">
        <f>B15*(1-B16)*POWER(1+IF(8&lt;=5,$B$18,$B$19),8)</f>
        <v/>
      </c>
      <c r="C31" s="6">
        <f>B31</f>
        <v/>
      </c>
      <c r="D31" s="6">
        <f>1/POWER(1+$B$20,8)</f>
        <v/>
      </c>
      <c r="E31" s="6">
        <f>C31*D31</f>
        <v/>
      </c>
    </row>
    <row r="32">
      <c r="A32" s="4" t="inlineStr">
        <is>
          <t>第9年</t>
        </is>
      </c>
      <c r="B32" s="6">
        <f>B15*(1-B16)*POWER(1+IF(9&lt;=5,$B$18,$B$19),9)</f>
        <v/>
      </c>
      <c r="C32" s="6">
        <f>B32</f>
        <v/>
      </c>
      <c r="D32" s="6">
        <f>1/POWER(1+$B$20,9)</f>
        <v/>
      </c>
      <c r="E32" s="6">
        <f>C32*D32</f>
        <v/>
      </c>
    </row>
    <row r="33">
      <c r="A33" s="4" t="inlineStr">
        <is>
          <t>第10年</t>
        </is>
      </c>
      <c r="B33" s="6">
        <f>B15*(1-B16)*POWER(1+IF(10&lt;=5,$B$18,$B$19),10)</f>
        <v/>
      </c>
      <c r="C33" s="6">
        <f>B33</f>
        <v/>
      </c>
      <c r="D33" s="6">
        <f>1/POWER(1+$B$20,10)</f>
        <v/>
      </c>
      <c r="E33" s="6">
        <f>C33*D33</f>
        <v/>
      </c>
    </row>
    <row r="34">
      <c r="A34" s="4" t="inlineStr">
        <is>
          <t>前10年现值合计</t>
        </is>
      </c>
      <c r="E34" s="6">
        <f>SUM(E24:E33)</f>
        <v/>
      </c>
    </row>
    <row r="35">
      <c r="A35" s="4" t="inlineStr">
        <is>
          <t>第10年末终值</t>
        </is>
      </c>
      <c r="E35" s="6">
        <f>C33*(1+B21)/(B20-B21)</f>
        <v/>
      </c>
    </row>
    <row r="36">
      <c r="A36" s="4" t="inlineStr">
        <is>
          <t>终值折现</t>
        </is>
      </c>
      <c r="E36" s="6">
        <f>E35*D33</f>
        <v/>
      </c>
    </row>
    <row r="37">
      <c r="A37" s="4" t="inlineStr">
        <is>
          <t>内在价值（总）</t>
        </is>
      </c>
      <c r="E37" s="6">
        <f>E34+E36</f>
        <v/>
      </c>
    </row>
    <row r="38">
      <c r="A38" s="4" t="inlineStr">
        <is>
          <t>每股内在价值</t>
        </is>
      </c>
      <c r="E38" s="6">
        <f>E37/B7*10000</f>
        <v/>
      </c>
    </row>
    <row r="39">
      <c r="A39" s="4" t="inlineStr">
        <is>
          <t>5折买入价</t>
        </is>
      </c>
      <c r="E39" s="6">
        <f>E38*0.5</f>
        <v/>
      </c>
    </row>
    <row r="40">
      <c r="A40" s="4" t="inlineStr">
        <is>
          <t>150%卖出价</t>
        </is>
      </c>
      <c r="E40" s="6">
        <f>E38*1.5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关键财务比率分析</t>
        </is>
      </c>
    </row>
    <row r="3">
      <c r="A3" s="7" t="inlineStr">
        <is>
          <t>比率</t>
        </is>
      </c>
      <c r="B3" s="7" t="inlineStr">
        <is>
          <t>数值</t>
        </is>
      </c>
      <c r="C3" s="7" t="inlineStr">
        <is>
          <t>标准值/行业平均</t>
        </is>
      </c>
    </row>
    <row r="4">
      <c r="A4" s="4" t="inlineStr">
        <is>
          <t>毛利率(%)</t>
        </is>
      </c>
      <c r="B4" s="5" t="inlineStr"/>
      <c r="C4" s="4" t="inlineStr">
        <is>
          <t>&gt;40%优秀</t>
        </is>
      </c>
    </row>
    <row r="5">
      <c r="A5" s="4" t="inlineStr">
        <is>
          <t>净利率(%)</t>
        </is>
      </c>
      <c r="B5" s="5" t="inlineStr"/>
      <c r="C5" s="4" t="inlineStr">
        <is>
          <t>&gt;20%优秀</t>
        </is>
      </c>
    </row>
    <row r="6">
      <c r="A6" s="4" t="inlineStr">
        <is>
          <t>ROE(%)</t>
        </is>
      </c>
      <c r="B6" s="5" t="inlineStr"/>
      <c r="C6" s="4" t="inlineStr">
        <is>
          <t>&gt;20%优秀</t>
        </is>
      </c>
    </row>
    <row r="7">
      <c r="A7" s="4" t="inlineStr">
        <is>
          <t>ROA(%)</t>
        </is>
      </c>
      <c r="B7" s="5" t="inlineStr"/>
      <c r="C7" s="4" t="inlineStr">
        <is>
          <t>&gt;10%良好</t>
        </is>
      </c>
    </row>
    <row r="8">
      <c r="A8" s="4" t="inlineStr">
        <is>
          <t>资产负债率(%)</t>
        </is>
      </c>
      <c r="B8" s="5" t="inlineStr"/>
      <c r="C8" s="4" t="inlineStr">
        <is>
          <t>&lt;50%安全</t>
        </is>
      </c>
    </row>
    <row r="9">
      <c r="A9" s="4" t="inlineStr">
        <is>
          <t>流动比率</t>
        </is>
      </c>
      <c r="B9" s="5" t="inlineStr"/>
      <c r="C9" s="4" t="inlineStr">
        <is>
          <t>&gt;2安全</t>
        </is>
      </c>
    </row>
    <row r="10">
      <c r="A10" s="4" t="inlineStr">
        <is>
          <t>速动比率</t>
        </is>
      </c>
      <c r="B10" s="5" t="inlineStr"/>
      <c r="C10" s="4" t="inlineStr">
        <is>
          <t>&gt;1安全</t>
        </is>
      </c>
    </row>
    <row r="11">
      <c r="A11" s="4" t="inlineStr">
        <is>
          <t>存货周转天数</t>
        </is>
      </c>
      <c r="B11" s="5" t="inlineStr"/>
      <c r="C11" s="4" t="inlineStr">
        <is>
          <t>越低越好</t>
        </is>
      </c>
    </row>
    <row r="12">
      <c r="A12" s="4" t="inlineStr">
        <is>
          <t>应收账款周转天数</t>
        </is>
      </c>
      <c r="B12" s="5" t="inlineStr"/>
      <c r="C12" s="4" t="inlineStr">
        <is>
          <t>越低越好</t>
        </is>
      </c>
    </row>
    <row r="13">
      <c r="A13" s="4" t="inlineStr">
        <is>
          <t>经营现金流/净利润</t>
        </is>
      </c>
      <c r="B13" s="5" t="inlineStr"/>
      <c r="C13" s="4" t="inlineStr">
        <is>
          <t>&gt;1健康</t>
        </is>
      </c>
    </row>
    <row r="14">
      <c r="A14" s="4" t="inlineStr">
        <is>
          <t>分红率(%)</t>
        </is>
      </c>
      <c r="B14" s="5" t="inlineStr"/>
      <c r="C14" s="4" t="inlineStr">
        <is>
          <t>30-50%合理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利润质量检查清单</t>
        </is>
      </c>
    </row>
    <row r="3">
      <c r="A3" s="7" t="inlineStr">
        <is>
          <t>检查项目</t>
        </is>
      </c>
      <c r="B3" s="7" t="inlineStr">
        <is>
          <t>数值</t>
        </is>
      </c>
      <c r="C3" s="7" t="inlineStr">
        <is>
          <t>判断标准</t>
        </is>
      </c>
      <c r="D3" s="7" t="inlineStr">
        <is>
          <t>结论</t>
        </is>
      </c>
    </row>
    <row r="4">
      <c r="A4" s="4" t="inlineStr">
        <is>
          <t>经营现金流/净利润</t>
        </is>
      </c>
      <c r="B4" s="5" t="inlineStr"/>
      <c r="C4" s="4" t="inlineStr">
        <is>
          <t>&gt;1.0为健康</t>
        </is>
      </c>
      <c r="D4" s="4" t="inlineStr"/>
    </row>
    <row r="5">
      <c r="A5" s="4" t="inlineStr">
        <is>
          <t>销售现金/营业收入</t>
        </is>
      </c>
      <c r="B5" s="5" t="inlineStr"/>
      <c r="C5" s="4" t="inlineStr">
        <is>
          <t>&gt;1.17为健康</t>
        </is>
      </c>
      <c r="D5" s="4" t="inlineStr"/>
    </row>
    <row r="6">
      <c r="A6" s="4" t="inlineStr">
        <is>
          <t>扣非净利润/净利润</t>
        </is>
      </c>
      <c r="B6" s="5" t="inlineStr"/>
      <c r="C6" s="4" t="inlineStr">
        <is>
          <t>&gt;0.8为健康</t>
        </is>
      </c>
      <c r="D6" s="4" t="inlineStr"/>
    </row>
    <row r="7">
      <c r="A7" s="4" t="inlineStr">
        <is>
          <t>应收账款增长率</t>
        </is>
      </c>
      <c r="B7" s="5" t="inlineStr"/>
      <c r="C7" s="4" t="inlineStr">
        <is>
          <t>&lt;=营收增长率</t>
        </is>
      </c>
      <c r="D7" s="4" t="inlineStr"/>
    </row>
    <row r="8">
      <c r="A8" s="4" t="inlineStr">
        <is>
          <t>存货增长率</t>
        </is>
      </c>
      <c r="B8" s="5" t="inlineStr"/>
      <c r="C8" s="4" t="inlineStr">
        <is>
          <t>&lt;=营收增长率</t>
        </is>
      </c>
      <c r="D8" s="4" t="inlineStr"/>
    </row>
    <row r="9">
      <c r="A9" s="4" t="inlineStr">
        <is>
          <t>其他应收款/总资产</t>
        </is>
      </c>
      <c r="B9" s="5" t="inlineStr"/>
      <c r="C9" s="4" t="inlineStr">
        <is>
          <t>&lt;0.05正常</t>
        </is>
      </c>
      <c r="D9" s="4" t="inlineStr"/>
    </row>
    <row r="10">
      <c r="A10" s="4" t="inlineStr">
        <is>
          <t>商誉/总资产</t>
        </is>
      </c>
      <c r="B10" s="5" t="inlineStr"/>
      <c r="C10" s="4" t="inlineStr">
        <is>
          <t>&lt;0.1正常</t>
        </is>
      </c>
      <c r="D10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投资决策汇总</t>
        </is>
      </c>
    </row>
    <row r="3">
      <c r="A3" s="7" t="inlineStr">
        <is>
          <t>项目</t>
        </is>
      </c>
      <c r="B3" s="7" t="inlineStr">
        <is>
          <t>结果</t>
        </is>
      </c>
      <c r="C3" s="7" t="inlineStr">
        <is>
          <t>备注</t>
        </is>
      </c>
    </row>
    <row r="4">
      <c r="A4" s="4" t="inlineStr">
        <is>
          <t>当前股价</t>
        </is>
      </c>
      <c r="B4" s="5" t="inlineStr"/>
      <c r="C4" s="4" t="inlineStr"/>
    </row>
    <row r="5">
      <c r="A5" s="4" t="inlineStr">
        <is>
          <t>每股内在价值</t>
        </is>
      </c>
      <c r="B5" s="5" t="inlineStr"/>
      <c r="C5" s="4" t="inlineStr"/>
    </row>
    <row r="6">
      <c r="A6" s="4" t="inlineStr">
        <is>
          <t>5折买入价</t>
        </is>
      </c>
      <c r="B6" s="5" t="inlineStr"/>
      <c r="C6" s="4" t="inlineStr"/>
    </row>
    <row r="7">
      <c r="A7" s="4" t="inlineStr">
        <is>
          <t>150%卖出价</t>
        </is>
      </c>
      <c r="B7" s="5" t="inlineStr"/>
      <c r="C7" s="4" t="inlineStr"/>
    </row>
    <row r="8">
      <c r="A8" s="4" t="inlineStr">
        <is>
          <t>安全边际</t>
        </is>
      </c>
      <c r="B8" s="6">
        <f>IF(B3&gt;0,(B3-B2)/B3,"")</f>
        <v/>
      </c>
      <c r="C8" s="4" t="inlineStr">
        <is>
          <t>(内在价值-当前价)/内在价值</t>
        </is>
      </c>
    </row>
    <row r="9">
      <c r="A9" s="4" t="inlineStr">
        <is>
          <t>买入建议</t>
        </is>
      </c>
      <c r="B9" s="6">
        <f>IF(B6&gt;0.5,"强烈建议买入",IF(B6&gt;0.3,"可以买入","等待"))</f>
        <v/>
      </c>
      <c r="C9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2026-02-24T18:03:33Z</dcterms:created>
  <dcterms:modified xmlns:dcterms="http://purl.org/dc/terms/" xmlns:xsi="http://www.w3.org/2001/XMLSchema-instance" xsi:type="dcterms:W3CDTF">2026-02-24T18:03:33Z</dcterms:modified>
</cp:coreProperties>
</file>